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tegory Data" sheetId="2" state="visible" r:id="rId2"/>
    <sheet xmlns:r="http://schemas.openxmlformats.org/officeDocument/2006/relationships" name="Scheme Data" sheetId="3" state="visible" r:id="rId3"/>
    <sheet xmlns:r="http://schemas.openxmlformats.org/officeDocument/2006/relationships" name="Methodology &amp; Findings" sheetId="4" state="visible" r:id="rId4"/>
    <sheet xmlns:r="http://schemas.openxmlformats.org/officeDocument/2006/relationships" name="Sector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666666"/>
      <sz val="10"/>
    </font>
    <font>
      <b val="1"/>
      <color rgb="00FFFFFF"/>
      <sz val="10"/>
    </font>
    <font>
      <b val="1"/>
      <color rgb="0017365D"/>
      <sz val="16"/>
    </font>
    <font>
      <i val="1"/>
      <color rgb="00202124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0F6B78"/>
      </patternFill>
    </fill>
    <fill>
      <patternFill patternType="solid">
        <fgColor rgb="00D9EAF7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5" fillId="4" borderId="0" applyAlignment="1" pivotButton="0" quotePrefix="0" xfId="0">
      <alignment horizontal="center" vertical="center" wrapText="1"/>
    </xf>
    <xf numFmtId="4" fontId="6" fillId="5" borderId="0" applyAlignment="1" pivotButton="0" quotePrefix="0" xfId="0">
      <alignment horizontal="center" vertical="center"/>
    </xf>
    <xf numFmtId="3" fontId="6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3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CE4D6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Inflows / Outflows by Scheme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 Data'!F2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Data'!$A$3:$A$10</f>
            </numRef>
          </cat>
          <val>
            <numRef>
              <f>'Category Data'!$F$3:$F$10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 crore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AUM by Scheme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 Data'!G2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Data'!$A$3:$A$10</f>
            </numRef>
          </cat>
          <val>
            <numRef>
              <f>'Category Data'!$G$3:$G$10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 crore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Selected Scheme Categories: Net Flows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'Scheme Data'!E2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'Scheme Data'!$A$3:$A$17</f>
            </numRef>
          </cat>
          <val>
            <numRef>
              <f>'Scheme Data'!$E$3:$E$17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Scheme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 crore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22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7</row>
      <rowOff>0</rowOff>
    </from>
    <ext cx="5220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22</row>
      <rowOff>0</rowOff>
    </from>
    <ext cx="79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tegoryDataset" displayName="CategoryDataset" ref="A2:I10" headerRowCount="1">
  <autoFilter ref="A2:I10"/>
  <tableColumns count="9">
    <tableColumn id="1" name="Scheme Category"/>
    <tableColumn id="2" name="No. of Schemes"/>
    <tableColumn id="3" name="Folio Count"/>
    <tableColumn id="4" name="Funds Mobilised (₹ cr)"/>
    <tableColumn id="5" name="Redemptions (₹ cr)"/>
    <tableColumn id="6" name="Net Flows (₹ cr)"/>
    <tableColumn id="7" name="Net AUM (₹ cr)"/>
    <tableColumn id="8" name="Avg AUM (₹ cr)"/>
    <tableColumn id="9" name="SIP Inflows (₹ cr)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chemeDataset" displayName="SchemeDataset" ref="A2:G17" headerRowCount="1">
  <autoFilter ref="A2:G17"/>
  <tableColumns count="7">
    <tableColumn id="1" name="Scheme Category"/>
    <tableColumn id="2" name="Folio Count"/>
    <tableColumn id="3" name="Funds Mobilised (₹ cr)"/>
    <tableColumn id="4" name="Redemptions (₹ cr)"/>
    <tableColumn id="5" name="Net Flows (₹ cr)"/>
    <tableColumn id="6" name="Net AUM (₹ cr)"/>
    <tableColumn id="7" name="SIP Inflows (₹ cr)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0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0" customHeight="1">
      <c r="A1" s="1" t="inlineStr">
        <is>
          <t>ASSIGNMENT 08 | MUTUAL FUND INDUSTRY PERFORMANCE ANALYSIS IN INDIA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8" customHeight="1">
      <c r="A2" s="3" t="inlineStr">
        <is>
          <t>Prepared by: VANKADHARA BALAJI  |  Source: SEBI  |  Category snapshot: 31 Aug 2026; sector summary: 30 Sep 2026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4" customHeight="1">
      <c r="A4" s="4" t="inlineStr">
        <is>
          <t>Category Net AUM (₹ cr)</t>
        </is>
      </c>
      <c r="B4" s="2" t="n"/>
      <c r="C4" s="2" t="n"/>
      <c r="D4" s="4" t="inlineStr">
        <is>
          <t>Category Net Flows (₹ cr)</t>
        </is>
      </c>
      <c r="E4" s="2" t="n"/>
      <c r="F4" s="2" t="n"/>
      <c r="G4" s="4" t="inlineStr">
        <is>
          <t>Category Folios</t>
        </is>
      </c>
      <c r="H4" s="2" t="n"/>
      <c r="I4" s="2" t="n"/>
      <c r="J4" s="4" t="inlineStr">
        <is>
          <t>Category SIP Inflows (₹ cr)</t>
        </is>
      </c>
      <c r="K4" s="2" t="n"/>
      <c r="L4" s="2" t="n"/>
    </row>
    <row r="5" ht="24" customHeight="1">
      <c r="A5" s="5">
        <f>SUM('Category Data'!G3:G10)</f>
        <v/>
      </c>
      <c r="B5" s="2" t="n"/>
      <c r="C5" s="2" t="n"/>
      <c r="D5" s="5">
        <f>SUM('Category Data'!F3:F10)</f>
        <v/>
      </c>
      <c r="E5" s="2" t="n"/>
      <c r="F5" s="2" t="n"/>
      <c r="G5" s="6">
        <f>SUM('Category Data'!C3:C10)</f>
        <v/>
      </c>
      <c r="H5" s="2" t="n"/>
      <c r="I5" s="2" t="n"/>
      <c r="J5" s="5">
        <f>SUM('Category Data'!I3:I10)</f>
        <v/>
      </c>
      <c r="K5" s="2" t="n"/>
      <c r="L5" s="2" t="n"/>
    </row>
    <row r="6" ht="24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 ht="36" customHeight="1">
      <c r="A40" s="7" t="inlineStr">
        <is>
          <t>Dashboard notes: Category data are cumulative FY-to-date flows through Aug 2026; AUM and folios are point-in-time as of Aug 31, 2026. Sector Summary contains Sep 30, 2026 totals. See Methodology &amp; Findings for interpretation and recommendations.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</sheetData>
  <mergeCells count="11">
    <mergeCell ref="A2:L2"/>
    <mergeCell ref="D5:F6"/>
    <mergeCell ref="A5:C6"/>
    <mergeCell ref="G5:I6"/>
    <mergeCell ref="A1:L1"/>
    <mergeCell ref="D4:F4"/>
    <mergeCell ref="J5:L6"/>
    <mergeCell ref="G4:I4"/>
    <mergeCell ref="J4:L4"/>
    <mergeCell ref="A40:L40"/>
    <mergeCell ref="A4:C4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zoomScale="8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18" customWidth="1" min="3" max="3"/>
    <col width="22" customWidth="1" min="4" max="4"/>
    <col width="21" customWidth="1" min="5" max="5"/>
    <col width="19" customWidth="1" min="6" max="6"/>
    <col width="18" customWidth="1" min="7" max="7"/>
    <col width="18" customWidth="1" min="8" max="8"/>
    <col width="20" customWidth="1" min="9" max="9"/>
  </cols>
  <sheetData>
    <row r="1" ht="30" customHeight="1">
      <c r="A1" s="1" t="inlineStr">
        <is>
          <t>SEBI Mutual Fund Industry — Category Dataset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42" customHeight="1">
      <c r="A2" s="8" t="inlineStr">
        <is>
          <t>Scheme Category</t>
        </is>
      </c>
      <c r="B2" s="8" t="inlineStr">
        <is>
          <t>No. of Schemes</t>
        </is>
      </c>
      <c r="C2" s="8" t="inlineStr">
        <is>
          <t>Folio Count</t>
        </is>
      </c>
      <c r="D2" s="8" t="inlineStr">
        <is>
          <t>Funds Mobilised (₹ cr)</t>
        </is>
      </c>
      <c r="E2" s="8" t="inlineStr">
        <is>
          <t>Redemptions (₹ cr)</t>
        </is>
      </c>
      <c r="F2" s="8" t="inlineStr">
        <is>
          <t>Net Flows (₹ cr)</t>
        </is>
      </c>
      <c r="G2" s="8" t="inlineStr">
        <is>
          <t>Net AUM (₹ cr)</t>
        </is>
      </c>
      <c r="H2" s="8" t="inlineStr">
        <is>
          <t>Avg AUM (₹ cr)</t>
        </is>
      </c>
      <c r="I2" s="8" t="inlineStr">
        <is>
          <t>SIP Inflows (₹ cr)</t>
        </is>
      </c>
    </row>
    <row r="3">
      <c r="A3" s="2" t="inlineStr">
        <is>
          <t>Debt Schemes</t>
        </is>
      </c>
      <c r="B3" s="9" t="n">
        <v>341</v>
      </c>
      <c r="C3" s="9" t="n">
        <v>9759148</v>
      </c>
      <c r="D3" s="10" t="n">
        <v>7837915.34</v>
      </c>
      <c r="E3" s="10" t="n">
        <v>7800199.2</v>
      </c>
      <c r="F3" s="10" t="n">
        <v>37716.14</v>
      </c>
      <c r="G3" s="10" t="n">
        <v>1764044.29</v>
      </c>
      <c r="H3" s="10" t="n">
        <v>1964291.01</v>
      </c>
      <c r="I3" s="10" t="n">
        <v>564.1900000000001</v>
      </c>
    </row>
    <row r="4">
      <c r="A4" s="2" t="inlineStr">
        <is>
          <t>Equity Schemes</t>
        </is>
      </c>
      <c r="B4" s="9" t="n">
        <v>583</v>
      </c>
      <c r="C4" s="9" t="n">
        <v>190990944</v>
      </c>
      <c r="D4" s="10" t="n">
        <v>413475.07</v>
      </c>
      <c r="E4" s="10" t="n">
        <v>230821.14</v>
      </c>
      <c r="F4" s="10" t="n">
        <v>182653.93</v>
      </c>
      <c r="G4" s="10" t="n">
        <v>3754274.58</v>
      </c>
      <c r="H4" s="10" t="n">
        <v>3850660.61</v>
      </c>
      <c r="I4" s="10" t="n">
        <v>26364.08</v>
      </c>
    </row>
    <row r="5">
      <c r="A5" s="2" t="inlineStr">
        <is>
          <t>Hybrid Schemes</t>
        </is>
      </c>
      <c r="B5" s="9" t="n">
        <v>190</v>
      </c>
      <c r="C5" s="9" t="n">
        <v>20583276</v>
      </c>
      <c r="D5" s="10" t="n">
        <v>269730.92</v>
      </c>
      <c r="E5" s="10" t="n">
        <v>204633.46</v>
      </c>
      <c r="F5" s="10" t="n">
        <v>65097.46</v>
      </c>
      <c r="G5" s="10" t="n">
        <v>1152157.71</v>
      </c>
      <c r="H5" s="10" t="n">
        <v>1255391.76</v>
      </c>
      <c r="I5" s="10" t="n">
        <v>2094.07</v>
      </c>
    </row>
    <row r="6">
      <c r="A6" s="2" t="inlineStr">
        <is>
          <t>Life Cycle Funds</t>
        </is>
      </c>
      <c r="B6" s="9" t="n">
        <v>6</v>
      </c>
      <c r="C6" s="9" t="n">
        <v>31654</v>
      </c>
      <c r="D6" s="10" t="n">
        <v>185.08</v>
      </c>
      <c r="E6" s="10" t="n">
        <v>3.63</v>
      </c>
      <c r="F6" s="10" t="n">
        <v>181.45</v>
      </c>
      <c r="G6" s="10" t="n">
        <v>176.11</v>
      </c>
      <c r="H6" s="10" t="n">
        <v>111.63</v>
      </c>
      <c r="I6" s="10" t="n">
        <v>1.67</v>
      </c>
    </row>
    <row r="7">
      <c r="A7" s="2" t="inlineStr">
        <is>
          <t>Solution Oriented Schemes</t>
        </is>
      </c>
      <c r="B7" s="9" t="n">
        <v>41</v>
      </c>
      <c r="C7" s="9" t="n">
        <v>6414737</v>
      </c>
      <c r="D7" s="10" t="n">
        <v>3549.5</v>
      </c>
      <c r="E7" s="10" t="n">
        <v>1593.06</v>
      </c>
      <c r="F7" s="10" t="n">
        <v>1956.44</v>
      </c>
      <c r="G7" s="10" t="n">
        <v>59322.31</v>
      </c>
      <c r="H7" s="10" t="n">
        <v>60729.15</v>
      </c>
      <c r="I7" s="10" t="n">
        <v>302.27</v>
      </c>
    </row>
    <row r="8">
      <c r="A8" s="2" t="inlineStr">
        <is>
          <t>Index Funds</t>
        </is>
      </c>
      <c r="B8" s="9" t="n">
        <v>376</v>
      </c>
      <c r="C8" s="9" t="n">
        <v>15940167</v>
      </c>
      <c r="D8" s="10" t="n">
        <v>70036.61</v>
      </c>
      <c r="E8" s="10" t="n">
        <v>65815.97</v>
      </c>
      <c r="F8" s="10" t="n">
        <v>4220.64</v>
      </c>
      <c r="G8" s="10" t="n">
        <v>320457.99</v>
      </c>
      <c r="H8" s="10" t="n">
        <v>338540.41</v>
      </c>
      <c r="I8" s="10" t="n">
        <v>1573.92</v>
      </c>
    </row>
    <row r="9">
      <c r="A9" s="2" t="inlineStr">
        <is>
          <t>Exchange Traded Funds (ETFs)</t>
        </is>
      </c>
      <c r="B9" s="9" t="n">
        <v>359</v>
      </c>
      <c r="C9" s="9" t="n">
        <v>40106066</v>
      </c>
      <c r="D9" s="10" t="n">
        <v>174657.12</v>
      </c>
      <c r="E9" s="10" t="n">
        <v>108793.13</v>
      </c>
      <c r="F9" s="10" t="n">
        <v>65863.98</v>
      </c>
      <c r="G9" s="10" t="n">
        <v>1149985.06</v>
      </c>
      <c r="H9" s="10" t="n">
        <v>1175832.47</v>
      </c>
      <c r="I9" s="10" t="n">
        <v>0</v>
      </c>
    </row>
    <row r="10">
      <c r="A10" s="2" t="inlineStr">
        <is>
          <t>Overseas Fund of Funds</t>
        </is>
      </c>
      <c r="B10" s="9" t="n">
        <v>52</v>
      </c>
      <c r="C10" s="9" t="n">
        <v>1981227</v>
      </c>
      <c r="D10" s="10" t="n">
        <v>4198.6</v>
      </c>
      <c r="E10" s="10" t="n">
        <v>1993.6</v>
      </c>
      <c r="F10" s="10" t="n">
        <v>2205.01</v>
      </c>
      <c r="G10" s="10" t="n">
        <v>48803.29</v>
      </c>
      <c r="H10" s="10" t="n">
        <v>48336.45</v>
      </c>
      <c r="I10" s="10" t="n">
        <v>100.81</v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11" t="inlineStr">
        <is>
          <t>Data note:</t>
        </is>
      </c>
      <c r="B12" s="12" t="inlineStr">
        <is>
          <t>Category data on SEBI's Apr–Sep 2026 page are reported as of Aug 31, 2026; flows are cumulative from Apr 1 to Aug 31, 2026.</t>
        </is>
      </c>
      <c r="C12" s="2" t="n"/>
      <c r="D12" s="2" t="n"/>
      <c r="E12" s="2" t="n"/>
      <c r="F12" s="2" t="n"/>
      <c r="G12" s="2" t="n"/>
      <c r="H12" s="2" t="n"/>
      <c r="I12" s="2" t="n"/>
    </row>
    <row r="13">
      <c r="A13" s="11" t="inlineStr">
        <is>
          <t>Source:</t>
        </is>
      </c>
      <c r="B13" s="12" t="inlineStr">
        <is>
          <t>https://www.sebi.gov.in/statistics/mutual-fund/objective/apr-sep-2026.html</t>
        </is>
      </c>
      <c r="C13" s="2" t="n"/>
      <c r="D13" s="2" t="n"/>
      <c r="E13" s="2" t="n"/>
      <c r="F13" s="2" t="n"/>
      <c r="G13" s="2" t="n"/>
      <c r="H13" s="2" t="n"/>
      <c r="I13" s="2" t="n"/>
    </row>
  </sheetData>
  <mergeCells count="3">
    <mergeCell ref="A1:I1"/>
    <mergeCell ref="B13:I13"/>
    <mergeCell ref="B12:I12"/>
  </mergeCells>
  <conditionalFormatting sqref="F3:F10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zoomScale="8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3" customWidth="1" min="3" max="3"/>
    <col width="21" customWidth="1" min="4" max="4"/>
    <col width="19" customWidth="1" min="5" max="5"/>
    <col width="18" customWidth="1" min="6" max="6"/>
    <col width="20" customWidth="1" min="7" max="7"/>
  </cols>
  <sheetData>
    <row r="1" ht="30" customHeight="1">
      <c r="A1" s="1" t="inlineStr">
        <is>
          <t>Selected Scheme-Level Data — SEBI</t>
        </is>
      </c>
      <c r="B1" s="2" t="n"/>
      <c r="C1" s="2" t="n"/>
      <c r="D1" s="2" t="n"/>
      <c r="E1" s="2" t="n"/>
      <c r="F1" s="2" t="n"/>
      <c r="G1" s="2" t="n"/>
    </row>
    <row r="2" ht="42" customHeight="1">
      <c r="A2" s="8" t="inlineStr">
        <is>
          <t>Scheme Category</t>
        </is>
      </c>
      <c r="B2" s="8" t="inlineStr">
        <is>
          <t>Folio Count</t>
        </is>
      </c>
      <c r="C2" s="8" t="inlineStr">
        <is>
          <t>Funds Mobilised (₹ cr)</t>
        </is>
      </c>
      <c r="D2" s="8" t="inlineStr">
        <is>
          <t>Redemptions (₹ cr)</t>
        </is>
      </c>
      <c r="E2" s="8" t="inlineStr">
        <is>
          <t>Net Flows (₹ cr)</t>
        </is>
      </c>
      <c r="F2" s="8" t="inlineStr">
        <is>
          <t>Net AUM (₹ cr)</t>
        </is>
      </c>
      <c r="G2" s="8" t="inlineStr">
        <is>
          <t>SIP Inflows (₹ cr)</t>
        </is>
      </c>
    </row>
    <row r="3">
      <c r="A3" s="2" t="inlineStr">
        <is>
          <t>Small Cap Fund</t>
        </is>
      </c>
      <c r="B3" s="9" t="n">
        <v>30381196</v>
      </c>
      <c r="C3" s="10" t="n">
        <v>66618.14999999999</v>
      </c>
      <c r="D3" s="10" t="n">
        <v>24605.3</v>
      </c>
      <c r="E3" s="10" t="n">
        <v>42212.85</v>
      </c>
      <c r="F3" s="10" t="n">
        <v>461751.59</v>
      </c>
      <c r="G3" s="10" t="n">
        <v>5142.67</v>
      </c>
    </row>
    <row r="4">
      <c r="A4" s="2" t="inlineStr">
        <is>
          <t>Flexi Cap Fund</t>
        </is>
      </c>
      <c r="B4" s="9" t="n">
        <v>25035055</v>
      </c>
      <c r="C4" s="10" t="n">
        <v>71268.25</v>
      </c>
      <c r="D4" s="10" t="n">
        <v>34243.27</v>
      </c>
      <c r="E4" s="10" t="n">
        <v>37024.98</v>
      </c>
      <c r="F4" s="10" t="n">
        <v>588389.53</v>
      </c>
      <c r="G4" s="10" t="n">
        <v>4094.64</v>
      </c>
    </row>
    <row r="5">
      <c r="A5" s="2" t="inlineStr">
        <is>
          <t>Mid Cap Fund</t>
        </is>
      </c>
      <c r="B5" s="9" t="n">
        <v>26768077</v>
      </c>
      <c r="C5" s="10" t="n">
        <v>51552.61</v>
      </c>
      <c r="D5" s="10" t="n">
        <v>23509.44</v>
      </c>
      <c r="E5" s="10" t="n">
        <v>38043.17</v>
      </c>
      <c r="F5" s="10" t="n">
        <v>514213.12</v>
      </c>
      <c r="G5" s="10" t="n">
        <v>4342.29</v>
      </c>
    </row>
    <row r="6">
      <c r="A6" s="2" t="inlineStr">
        <is>
          <t>Multi Cap Fund</t>
        </is>
      </c>
      <c r="B6" s="9" t="n">
        <v>12074365</v>
      </c>
      <c r="C6" s="10" t="n">
        <v>34087.56</v>
      </c>
      <c r="D6" s="10" t="n">
        <v>14100.67</v>
      </c>
      <c r="E6" s="10" t="n">
        <v>19986.89</v>
      </c>
      <c r="F6" s="10" t="n">
        <v>248188.16</v>
      </c>
      <c r="G6" s="10" t="n">
        <v>1976.58</v>
      </c>
    </row>
    <row r="7">
      <c r="A7" s="2" t="inlineStr">
        <is>
          <t>Large &amp; Mid Cap Fund</t>
        </is>
      </c>
      <c r="B7" s="9" t="n">
        <v>14531964</v>
      </c>
      <c r="C7" s="10" t="n">
        <v>41647.42</v>
      </c>
      <c r="D7" s="10" t="n">
        <v>17988.04</v>
      </c>
      <c r="E7" s="10" t="n">
        <v>23659.38</v>
      </c>
      <c r="F7" s="10" t="n">
        <v>354112.84</v>
      </c>
      <c r="G7" s="10" t="n">
        <v>2344.21</v>
      </c>
    </row>
    <row r="8">
      <c r="A8" s="2" t="inlineStr">
        <is>
          <t>Equity ETF</t>
        </is>
      </c>
      <c r="B8" s="9" t="n">
        <v>19712501</v>
      </c>
      <c r="C8" s="10" t="n">
        <v>69415.39999999999</v>
      </c>
      <c r="D8" s="10" t="n">
        <v>20446.79</v>
      </c>
      <c r="E8" s="10" t="n">
        <v>48968.61</v>
      </c>
      <c r="F8" s="10" t="n">
        <v>781161.51</v>
      </c>
      <c r="G8" s="10" t="n">
        <v>0</v>
      </c>
    </row>
    <row r="9">
      <c r="A9" s="2" t="inlineStr">
        <is>
          <t>Gold ETF</t>
        </is>
      </c>
      <c r="B9" s="9" t="n">
        <v>12677259</v>
      </c>
      <c r="C9" s="10" t="n">
        <v>24542.88</v>
      </c>
      <c r="D9" s="10" t="n">
        <v>10178.31</v>
      </c>
      <c r="E9" s="10" t="n">
        <v>14364.57</v>
      </c>
      <c r="F9" s="10" t="n">
        <v>186310.44</v>
      </c>
      <c r="G9" s="10" t="n">
        <v>0</v>
      </c>
    </row>
    <row r="10">
      <c r="A10" s="2" t="inlineStr">
        <is>
          <t>Silver ETF</t>
        </is>
      </c>
      <c r="B10" s="9" t="n">
        <v>5310609</v>
      </c>
      <c r="C10" s="10" t="n">
        <v>26968.32</v>
      </c>
      <c r="D10" s="10" t="n">
        <v>20411.87</v>
      </c>
      <c r="E10" s="10" t="n">
        <v>6556.44</v>
      </c>
      <c r="F10" s="10" t="n">
        <v>81636.34</v>
      </c>
      <c r="G10" s="10" t="n">
        <v>0</v>
      </c>
    </row>
    <row r="11">
      <c r="A11" s="2" t="inlineStr">
        <is>
          <t>Arbitrage Fund</t>
        </is>
      </c>
      <c r="B11" s="9" t="n">
        <v>961288</v>
      </c>
      <c r="C11" s="10" t="n">
        <v>172584.04</v>
      </c>
      <c r="D11" s="10" t="n">
        <v>142373.61</v>
      </c>
      <c r="E11" s="10" t="n">
        <v>30210.43</v>
      </c>
      <c r="F11" s="10" t="n">
        <v>297632.33</v>
      </c>
      <c r="G11" s="10" t="n">
        <v>110.31</v>
      </c>
    </row>
    <row r="12">
      <c r="A12" s="2" t="inlineStr">
        <is>
          <t>Liquid Fund</t>
        </is>
      </c>
      <c r="B12" s="9" t="n">
        <v>4129998</v>
      </c>
      <c r="C12" s="10" t="n">
        <v>3186449.3</v>
      </c>
      <c r="D12" s="10" t="n">
        <v>3050061.93</v>
      </c>
      <c r="E12" s="10" t="n">
        <v>136387.37</v>
      </c>
      <c r="F12" s="10" t="n">
        <v>625847.01</v>
      </c>
      <c r="G12" s="10" t="n">
        <v>136.16</v>
      </c>
    </row>
    <row r="13">
      <c r="A13" s="2" t="inlineStr">
        <is>
          <t>Money Market Fund</t>
        </is>
      </c>
      <c r="B13" s="9" t="n">
        <v>541179</v>
      </c>
      <c r="C13" s="10" t="n">
        <v>451758.61</v>
      </c>
      <c r="D13" s="10" t="n">
        <v>484334.42</v>
      </c>
      <c r="E13" s="10" t="n">
        <v>-32575.82</v>
      </c>
      <c r="F13" s="10" t="n">
        <v>290669.69</v>
      </c>
      <c r="G13" s="10" t="n">
        <v>136.51</v>
      </c>
    </row>
    <row r="14">
      <c r="A14" s="2" t="inlineStr">
        <is>
          <t>Ultra Short to Short Term Fund</t>
        </is>
      </c>
      <c r="B14" s="9" t="n">
        <v>830223</v>
      </c>
      <c r="C14" s="10" t="n">
        <v>73571.12</v>
      </c>
      <c r="D14" s="10" t="n">
        <v>100475.26</v>
      </c>
      <c r="E14" s="10" t="n">
        <v>-26904.14</v>
      </c>
      <c r="F14" s="10" t="n">
        <v>107367.71</v>
      </c>
      <c r="G14" s="10" t="n">
        <v>70.25</v>
      </c>
    </row>
    <row r="15">
      <c r="A15" s="2" t="inlineStr">
        <is>
          <t>ELSS-Tax Saver Fund</t>
        </is>
      </c>
      <c r="B15" s="9" t="n">
        <v>16106808</v>
      </c>
      <c r="C15" s="10" t="n">
        <v>7035.96</v>
      </c>
      <c r="D15" s="10" t="n">
        <v>11587.93</v>
      </c>
      <c r="E15" s="10" t="n">
        <v>-4551.97</v>
      </c>
      <c r="F15" s="10" t="n">
        <v>230662.36</v>
      </c>
      <c r="G15" s="10" t="n">
        <v>767.26</v>
      </c>
    </row>
    <row r="16">
      <c r="A16" s="2" t="inlineStr">
        <is>
          <t>Debt Index Fund</t>
        </is>
      </c>
      <c r="B16" s="9" t="n">
        <v>193169</v>
      </c>
      <c r="C16" s="10" t="n">
        <v>22528.38</v>
      </c>
      <c r="D16" s="10" t="n">
        <v>41795.97</v>
      </c>
      <c r="E16" s="10" t="n">
        <v>-19267.59</v>
      </c>
      <c r="F16" s="10" t="n">
        <v>80576.74000000001</v>
      </c>
      <c r="G16" s="10" t="n">
        <v>5.7</v>
      </c>
    </row>
    <row r="17">
      <c r="A17" s="2" t="inlineStr">
        <is>
          <t>Thematic Fund</t>
        </is>
      </c>
      <c r="B17" s="9" t="n">
        <v>23604970</v>
      </c>
      <c r="C17" s="10" t="n">
        <v>41800.8</v>
      </c>
      <c r="D17" s="10" t="n">
        <v>37999.77</v>
      </c>
      <c r="E17" s="10" t="n">
        <v>3801.03</v>
      </c>
      <c r="F17" s="10" t="n">
        <v>399551.78</v>
      </c>
      <c r="G17" s="10" t="n">
        <v>2757.12</v>
      </c>
    </row>
  </sheetData>
  <mergeCells count="1">
    <mergeCell ref="A1:G1"/>
  </mergeCells>
  <conditionalFormatting sqref="E3:E17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zoomScale="8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22" customWidth="1" min="3" max="3"/>
    <col width="22" customWidth="1" min="4" max="4"/>
  </cols>
  <sheetData>
    <row r="1" ht="30" customHeight="1">
      <c r="A1" s="1" t="inlineStr">
        <is>
          <t>Dataset Description, Preparation, Analysis &amp; Recommendations</t>
        </is>
      </c>
      <c r="B1" s="2" t="n"/>
      <c r="C1" s="2" t="n"/>
      <c r="D1" s="2" t="n"/>
    </row>
    <row r="2">
      <c r="A2" s="13" t="inlineStr">
        <is>
          <t>Section</t>
        </is>
      </c>
      <c r="B2" s="13" t="inlineStr">
        <is>
          <t>Details</t>
        </is>
      </c>
      <c r="C2" s="13" t="inlineStr"/>
      <c r="D2" s="13" t="inlineStr"/>
    </row>
    <row r="3" ht="32" customHeight="1">
      <c r="A3" s="11" t="inlineStr">
        <is>
          <t>Project title</t>
        </is>
      </c>
      <c r="B3" s="14" t="inlineStr">
        <is>
          <t>Mutual Fund Industry Performance Analysis in India</t>
        </is>
      </c>
      <c r="C3" s="2" t="n"/>
      <c r="D3" s="2" t="n"/>
    </row>
    <row r="4" ht="32" customHeight="1">
      <c r="A4" s="11" t="inlineStr">
        <is>
          <t>Student</t>
        </is>
      </c>
      <c r="B4" s="14" t="inlineStr">
        <is>
          <t>VANKADHARA BALAJI</t>
        </is>
      </c>
      <c r="C4" s="2" t="n"/>
      <c r="D4" s="2" t="n"/>
    </row>
    <row r="5" ht="32" customHeight="1">
      <c r="A5" s="11" t="inlineStr">
        <is>
          <t>Problem statement</t>
        </is>
      </c>
      <c r="B5" s="14" t="inlineStr">
        <is>
          <t>Analyze mutual fund mobilisation, redemption, net inflows/outflows and AUM; compare categories and develop KPIs to identify areas of growth and investor preference.</t>
        </is>
      </c>
      <c r="C5" s="2" t="n"/>
      <c r="D5" s="2" t="n"/>
    </row>
    <row r="6" ht="46" customHeight="1">
      <c r="A6" s="11" t="inlineStr">
        <is>
          <t>Dataset description</t>
        </is>
      </c>
      <c r="B6" s="14" t="inlineStr">
        <is>
          <t>SEBI mutual fund statistics. Category-level dataset contains 8 major scheme categories with scheme counts, folios, cumulative funds mobilised, redemptions, net flows, net AUM, average AUM and SIP inflows. A separate selected scheme-level sheet provides additional category comparisons.</t>
        </is>
      </c>
      <c r="C6" s="2" t="n"/>
      <c r="D6" s="2" t="n"/>
    </row>
    <row r="7" ht="46" customHeight="1">
      <c r="A7" s="11" t="inlineStr">
        <is>
          <t>Reporting-period caution</t>
        </is>
      </c>
      <c r="B7" s="14" t="inlineStr">
        <is>
          <t>Detailed category figures on SEBI's Apr–Sep 2026 page show scheme-category counts, folios and AUM as of 31 Aug 2026 and cumulative mobilisation/redemption/net flows from 1 Apr to 31 Aug 2026. The separate RMMF archive gives sector-level cumulative totals through 30 Sep 2026. Dates are explicitly separated in the workbook.</t>
        </is>
      </c>
      <c r="C7" s="2" t="n"/>
      <c r="D7" s="2" t="n"/>
    </row>
    <row r="8" ht="46" customHeight="1">
      <c r="A8" s="11" t="inlineStr">
        <is>
          <t>Data cleaning / preparation</t>
        </is>
      </c>
      <c r="B8" s="14" t="inlineStr">
        <is>
          <t>1) Standardised category names and column labels. 2) Converted numeric values to numbers and kept ₹ crore as the unit. 3) Kept negative net flows as negative values to identify outflows. 4) Excluded subtotal rows from category chart data to avoid double counting. 5) Kept scheme-level examples on a separate sheet. 6) Preserved the source URLs and reporting-date caveat.</t>
        </is>
      </c>
      <c r="C8" s="2" t="n"/>
      <c r="D8" s="2" t="n"/>
    </row>
    <row r="9" ht="46" customHeight="1">
      <c r="A9" s="11" t="inlineStr">
        <is>
          <t>Statistical analysis</t>
        </is>
      </c>
      <c r="B9" s="14" t="inlineStr">
        <is>
          <t>Compared category net flows, AUM, folios, mobilisation and redemption. Net flow is checked as mobilisation minus redemption; SEBI's published net-flow field is retained. Categories are ranked by net flows and AUM. Results are descriptive, not causal, and no performance/return series is present.</t>
        </is>
      </c>
      <c r="C9" s="2" t="n"/>
      <c r="D9" s="2" t="n"/>
    </row>
    <row r="10" ht="46" customHeight="1">
      <c r="A10" s="11" t="inlineStr">
        <is>
          <t>Financial / business KPIs</t>
        </is>
      </c>
      <c r="B10" s="14" t="inlineStr">
        <is>
          <t>Net flow = funds mobilised − redemptions. Redemption ratio = redemptions ÷ mobilisation × 100. Net-flow-to-AUM = net flows ÷ net AUM × 100 (interpret cautiously because numerator is FY-to-date and denominator is point-in-time). Folio share = category folios ÷ total category folios × 100. SIP inflow indicates monthly SIP contribution where reported.</t>
        </is>
      </c>
      <c r="C10" s="2" t="n"/>
      <c r="D10" s="2" t="n"/>
    </row>
    <row r="11" ht="46" customHeight="1">
      <c r="A11" s="11" t="inlineStr">
        <is>
          <t>Key finding 1</t>
        </is>
      </c>
      <c r="B11" s="14" t="inlineStr">
        <is>
          <t>Equity schemes are the largest category by cumulative net flows in the selected category table (₹182,653.93 crore) and have the largest folio count, indicating strong investor participation in equity-oriented products.</t>
        </is>
      </c>
      <c r="C11" s="2" t="n"/>
      <c r="D11" s="2" t="n"/>
    </row>
    <row r="12" ht="46" customHeight="1">
      <c r="A12" s="11" t="inlineStr">
        <is>
          <t>Key finding 2</t>
        </is>
      </c>
      <c r="B12" s="14" t="inlineStr">
        <is>
          <t>ETFs (₹65,863.98 crore) and hybrid schemes (₹65,097.46 crore) also show substantial positive cumulative net flows. Equity ETFs have ₹48,968.61 crore net flows among the selected scheme-level examples; Gold ETFs show ₹14,364.57 crore.</t>
        </is>
      </c>
      <c r="C12" s="2" t="n"/>
      <c r="D12" s="2" t="n"/>
    </row>
    <row r="13" ht="46" customHeight="1">
      <c r="A13" s="11" t="inlineStr">
        <is>
          <t>Key finding 3</t>
        </is>
      </c>
      <c r="B13" s="14" t="inlineStr">
        <is>
          <t>Debt schemes overall show positive net flows of ₹37,716.14 crore, but individual debt categories are mixed: Liquid Funds have positive net flows, while Money Market and Ultra Short to Short Term Funds show outflows in the selected scheme data.</t>
        </is>
      </c>
      <c r="C13" s="2" t="n"/>
      <c r="D13" s="2" t="n"/>
    </row>
    <row r="14" ht="46" customHeight="1">
      <c r="A14" s="11" t="inlineStr">
        <is>
          <t>Key finding 4</t>
        </is>
      </c>
      <c r="B14" s="14" t="inlineStr">
        <is>
          <t>Some equity-related categories are also negative: ELSS-Tax Saver Funds show net outflows of ₹4,551.97 crore. Category-level results can hide meaningful differences among subcategories.</t>
        </is>
      </c>
      <c r="C14" s="2" t="n"/>
      <c r="D14" s="2" t="n"/>
    </row>
    <row r="15" ht="46" customHeight="1">
      <c r="A15" s="11" t="inlineStr">
        <is>
          <t>Actionable recommendation 1</t>
        </is>
      </c>
      <c r="B15" s="14" t="inlineStr">
        <is>
          <t>Prioritise investor education by product goal and risk profile. Explain differences between equity, debt, hybrid, ETF and tax-saving products rather than treating all mutual funds as one category.</t>
        </is>
      </c>
      <c r="C15" s="2" t="n"/>
      <c r="D15" s="2" t="n"/>
    </row>
    <row r="16" ht="46" customHeight="1">
      <c r="A16" s="11" t="inlineStr">
        <is>
          <t>Actionable recommendation 2</t>
        </is>
      </c>
      <c r="B16" s="14" t="inlineStr">
        <is>
          <t>Investigate persistent outflows in Money Market, Ultra Short to Short Term and ELSS categories using month-by-month data, fund-level performance, fees and investor segments before making product changes.</t>
        </is>
      </c>
      <c r="C16" s="2" t="n"/>
      <c r="D16" s="2" t="n"/>
    </row>
    <row r="17" ht="46" customHeight="1">
      <c r="A17" s="11" t="inlineStr">
        <is>
          <t>Actionable recommendation 3</t>
        </is>
      </c>
      <c r="B17" s="14" t="inlineStr">
        <is>
          <t>Expand transparent, low-cost ETF education and access where investor suitability supports it; track net flows, folio additions and redemption ratios monthly to test whether interest persists.</t>
        </is>
      </c>
      <c r="C17" s="2" t="n"/>
      <c r="D17" s="2" t="n"/>
    </row>
    <row r="18" ht="46" customHeight="1">
      <c r="A18" s="11" t="inlineStr">
        <is>
          <t>Actionable recommendation 4</t>
        </is>
      </c>
      <c r="B18" s="14" t="inlineStr">
        <is>
          <t>Build a monthly refresh process and compare the same reporting dates. Separate market-driven AUM changes from investor flows before attributing growth to sales or investor preference.</t>
        </is>
      </c>
      <c r="C18" s="2" t="n"/>
      <c r="D18" s="2" t="n"/>
    </row>
    <row r="19" ht="46" customHeight="1">
      <c r="A19" s="11" t="inlineStr">
        <is>
          <t>Limitations</t>
        </is>
      </c>
      <c r="B19" s="14" t="inlineStr">
        <is>
          <t>This dashboard is a descriptive snapshot from official SEBI pages, not investment advice. AUM changes may reflect market valuations as well as flows. Category data and sector totals have different cut-off dates; they must not be compared as if they were same-date figures.</t>
        </is>
      </c>
      <c r="C19" s="2" t="n"/>
      <c r="D19" s="2" t="n"/>
    </row>
    <row r="20" ht="46" customHeight="1">
      <c r="A20" s="11" t="inlineStr">
        <is>
          <t>References</t>
        </is>
      </c>
      <c r="B20" s="14" t="inlineStr">
        <is>
          <t>SEBI, Status of Mutual Fund Industry for 1 Apr 2026 to 30 Sep 2026 (detailed category data shown as of 31 Aug 2026): https://www.sebi.gov.in/statistics/mutual-fund/objective/apr-sep-2026.html</t>
        </is>
      </c>
      <c r="C20" s="2" t="n"/>
      <c r="D20" s="2" t="n"/>
    </row>
    <row r="21" ht="32" customHeight="1">
      <c r="A21" s="11" t="inlineStr">
        <is>
          <t>Reference 2</t>
        </is>
      </c>
      <c r="B21" s="14" t="inlineStr">
        <is>
          <t>SEBI, Status of Mutual Funds for 1 Apr 2026 to 30 Sep 2026 (sector summary): https://www.sebi.gov.in/statistics/mutual-fund/rmmf-archive/apr-sep-2026.html</t>
        </is>
      </c>
      <c r="C21" s="2" t="n"/>
      <c r="D21" s="2" t="n"/>
    </row>
    <row r="22" ht="32" customHeight="1">
      <c r="A22" s="11" t="inlineStr">
        <is>
          <t>Reference 3</t>
        </is>
      </c>
      <c r="B22" s="14" t="inlineStr">
        <is>
          <t>SEBI Mutual Fund Statistics landing page: https://www.sebi.gov.in/statistics/mutual-fund.html</t>
        </is>
      </c>
      <c r="C22" s="2" t="n"/>
      <c r="D22" s="2" t="n"/>
    </row>
  </sheetData>
  <mergeCells count="21">
    <mergeCell ref="B11:D11"/>
    <mergeCell ref="B14:D14"/>
    <mergeCell ref="B8:D8"/>
    <mergeCell ref="B17:D17"/>
    <mergeCell ref="B13:D13"/>
    <mergeCell ref="B10:D10"/>
    <mergeCell ref="B19:D19"/>
    <mergeCell ref="B9:D9"/>
    <mergeCell ref="B15:D15"/>
    <mergeCell ref="B6:D6"/>
    <mergeCell ref="B20:D20"/>
    <mergeCell ref="A1:D1"/>
    <mergeCell ref="B5:D5"/>
    <mergeCell ref="B4:D4"/>
    <mergeCell ref="B7:D7"/>
    <mergeCell ref="B16:D16"/>
    <mergeCell ref="B3:D3"/>
    <mergeCell ref="B22:D22"/>
    <mergeCell ref="B18:D18"/>
    <mergeCell ref="B21:D21"/>
    <mergeCell ref="B12:D12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zoomScale="85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  <col width="24" customWidth="1" min="4" max="4"/>
  </cols>
  <sheetData>
    <row r="1" ht="30" customHeight="1">
      <c r="A1" s="1" t="inlineStr">
        <is>
          <t>SEBI Sector Summary — 1 Apr to 30 Sep 2026</t>
        </is>
      </c>
      <c r="B1" s="2" t="n"/>
      <c r="C1" s="2" t="n"/>
      <c r="D1" s="2" t="n"/>
    </row>
    <row r="2">
      <c r="A2" s="8" t="inlineStr">
        <is>
          <t>Metric</t>
        </is>
      </c>
      <c r="B2" s="8" t="inlineStr">
        <is>
          <t>Private Sector (₹ cr)</t>
        </is>
      </c>
      <c r="C2" s="8" t="inlineStr">
        <is>
          <t>Public Sector (₹ cr)</t>
        </is>
      </c>
      <c r="D2" s="8" t="inlineStr">
        <is>
          <t>Grand Total (₹ cr)</t>
        </is>
      </c>
    </row>
    <row r="3">
      <c r="A3" s="2" t="inlineStr">
        <is>
          <t>Funds mobilised</t>
        </is>
      </c>
      <c r="B3" s="10" t="n">
        <v>6855876.02</v>
      </c>
      <c r="C3" s="10" t="n">
        <v>1917953.15</v>
      </c>
      <c r="D3" s="10" t="n">
        <v>8773829.17</v>
      </c>
    </row>
    <row r="4">
      <c r="A4" s="2" t="inlineStr">
        <is>
          <t>Repurchase / redemption</t>
        </is>
      </c>
      <c r="B4" s="10" t="n">
        <v>6539596.47</v>
      </c>
      <c r="C4" s="10" t="n">
        <v>1884919.21</v>
      </c>
      <c r="D4" s="10" t="n">
        <v>8424515.689999999</v>
      </c>
    </row>
    <row r="5">
      <c r="A5" s="2" t="inlineStr">
        <is>
          <t>Net inflow / outflow</t>
        </is>
      </c>
      <c r="B5" s="10" t="n">
        <v>316279.55</v>
      </c>
      <c r="C5" s="10" t="n">
        <v>33033.93</v>
      </c>
      <c r="D5" s="10" t="n">
        <v>349313.48</v>
      </c>
    </row>
    <row r="6">
      <c r="A6" s="2" t="inlineStr">
        <is>
          <t>Net assets at 30 Sep 2026</t>
        </is>
      </c>
      <c r="B6" s="10" t="n">
        <v>6822344.85</v>
      </c>
      <c r="C6" s="10" t="n">
        <v>1441771.8</v>
      </c>
      <c r="D6" s="10" t="n">
        <v>8264116.65</v>
      </c>
    </row>
    <row r="7">
      <c r="A7" s="2" t="n"/>
      <c r="B7" s="2" t="n"/>
      <c r="C7" s="2" t="n"/>
      <c r="D7" s="2" t="n"/>
    </row>
    <row r="8" ht="42" customHeight="1">
      <c r="A8" s="11" t="inlineStr">
        <is>
          <t>Important:</t>
        </is>
      </c>
      <c r="B8" s="14" t="inlineStr">
        <is>
          <t>This sector-level summary is through 30 Sep 2026; detailed scheme-category data on the companion SEBI page are as of 31 Aug 2026. Do not mix these dates in a single trend calculation.</t>
        </is>
      </c>
      <c r="C8" s="2" t="n"/>
      <c r="D8" s="2" t="n"/>
    </row>
    <row r="9">
      <c r="A9" s="2" t="inlineStr">
        <is>
          <t>Source:</t>
        </is>
      </c>
      <c r="B9" s="2" t="inlineStr">
        <is>
          <t>https://www.sebi.gov.in/statistics/mutual-fund/rmmf-archive/apr-sep-2026.html</t>
        </is>
      </c>
      <c r="C9" s="2" t="n"/>
      <c r="D9" s="2" t="n"/>
    </row>
  </sheetData>
  <mergeCells count="3">
    <mergeCell ref="A1:D1"/>
    <mergeCell ref="B9:D9"/>
    <mergeCell ref="B8:D8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2026-10-22T06:00:44Z</dcterms:created>
  <dcterms:modified xmlns:dcterms="http://purl.org/dc/terms/" xmlns:xsi="http://www.w3.org/2001/XMLSchema-instance" xsi:type="dcterms:W3CDTF">2026-10-22T06:00:44Z</dcterms:modified>
</cp:coreProperties>
</file>